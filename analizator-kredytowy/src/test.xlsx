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xampp\htdocs\php_websites\analizator-kredytowy\src\"/>
    </mc:Choice>
  </mc:AlternateContent>
  <xr:revisionPtr revIDLastSave="0" documentId="13_ncr:1_{409B76A1-DAE6-417C-AFD6-315775BE20D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7" i="1"/>
  <c r="D18" i="1"/>
  <c r="D11" i="1"/>
  <c r="E17" i="1" s="1"/>
  <c r="E21" i="1" s="1"/>
  <c r="D16" i="1"/>
  <c r="D9" i="1"/>
  <c r="D15" i="1"/>
  <c r="D19" i="1" l="1"/>
  <c r="F22" i="1"/>
  <c r="E22" i="1" s="1"/>
  <c r="D22" i="1"/>
</calcChain>
</file>

<file path=xl/sharedStrings.xml><?xml version="1.0" encoding="utf-8"?>
<sst xmlns="http://schemas.openxmlformats.org/spreadsheetml/2006/main" count="17" uniqueCount="17">
  <si>
    <t>maxMonthlyDebt</t>
  </si>
  <si>
    <t>maxRata</t>
  </si>
  <si>
    <t>DTI</t>
  </si>
  <si>
    <t>minimalne wydatki</t>
  </si>
  <si>
    <t>osoby</t>
  </si>
  <si>
    <t>suma długu</t>
  </si>
  <si>
    <t>max total debt</t>
  </si>
  <si>
    <t>okres</t>
  </si>
  <si>
    <t>CURRENT</t>
  </si>
  <si>
    <t>CORRECT</t>
  </si>
  <si>
    <t>okres msc</t>
  </si>
  <si>
    <t>RRSO</t>
  </si>
  <si>
    <t>r</t>
  </si>
  <si>
    <t>bufor</t>
  </si>
  <si>
    <t>zdolnosc</t>
  </si>
  <si>
    <t>rata malejąca pierwsza</t>
  </si>
  <si>
    <t>rata stała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</si>
</sst>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z_ł_-;\-* #,##0.00\ _z_ł_-;_-* &quot;-&quot;??\ _z_ł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2" applyFont="1"/>
    <xf numFmtId="43" fontId="0" fillId="0" borderId="0" xfId="1" applyFont="1"/>
    <xf numFmtId="164" fontId="0" fillId="0" borderId="0" xfId="0" applyNumberFormat="1"/>
    <xf numFmtId="10" fontId="0" fillId="0" borderId="0" xfId="2" applyNumberFormat="1" applyFont="1"/>
  </cellXfs>
  <cellStyles count="3">
    <cellStyle name="Dziesiętny" xfId="1" builtinId="3"/>
    <cellStyle name="Normalny" xfId="0" builtinId="0"/>
    <cellStyle name="Procentowy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22"/>
  <sheetViews>
    <sheetView tabSelected="1" workbookViewId="0">
      <selection activeCell="D11" sqref="D11"/>
    </sheetView>
  </sheetViews>
  <sheetFormatPr defaultRowHeight="14.5" x14ac:dyDescent="0.35"/>
  <cols>
    <col min="3" max="3" width="21.81640625" customWidth="1"/>
    <col min="4" max="4" width="12.7265625" bestFit="1" customWidth="1"/>
    <col min="5" max="5" width="14.26953125" bestFit="1" customWidth="1"/>
    <col min="6" max="6" width="10.7265625" bestFit="1" customWidth="1"/>
  </cols>
  <sheetData>
    <row r="2" spans="3:5" x14ac:dyDescent="0.35">
      <c r="D2" t="s">
        <v>8</v>
      </c>
      <c r="E2" t="s">
        <v>9</v>
      </c>
    </row>
    <row r="6" spans="3:5" x14ac:dyDescent="0.35">
      <c r="C6" t="s">
        <v>5</v>
      </c>
      <c r="D6">
        <v>300</v>
      </c>
    </row>
    <row r="7" spans="3:5" x14ac:dyDescent="0.35">
      <c r="C7" t="s">
        <v>4</v>
      </c>
      <c r="D7">
        <v>2</v>
      </c>
    </row>
    <row r="8" spans="3:5" x14ac:dyDescent="0.35">
      <c r="C8" t="s">
        <v>3</v>
      </c>
      <c r="D8">
        <v>1860.38</v>
      </c>
    </row>
    <row r="9" spans="3:5" x14ac:dyDescent="0.35">
      <c r="C9" t="s">
        <v>2</v>
      </c>
      <c r="D9" s="1">
        <f>0.65</f>
        <v>0.65</v>
      </c>
    </row>
    <row r="10" spans="3:5" x14ac:dyDescent="0.35">
      <c r="C10" t="s">
        <v>7</v>
      </c>
      <c r="D10">
        <v>30</v>
      </c>
    </row>
    <row r="11" spans="3:5" x14ac:dyDescent="0.35">
      <c r="C11" t="s">
        <v>10</v>
      </c>
      <c r="D11">
        <f>12*D10</f>
        <v>360</v>
      </c>
    </row>
    <row r="12" spans="3:5" x14ac:dyDescent="0.35">
      <c r="C12" t="s">
        <v>11</v>
      </c>
      <c r="D12" s="4">
        <f>0.0713</f>
        <v>7.1300000000000002E-2</v>
      </c>
    </row>
    <row r="13" spans="3:5" x14ac:dyDescent="0.35">
      <c r="C13" t="s">
        <v>13</v>
      </c>
      <c r="D13">
        <v>0</v>
      </c>
    </row>
    <row r="15" spans="3:5" x14ac:dyDescent="0.35">
      <c r="C15" t="s">
        <v>0</v>
      </c>
      <c r="D15" s="2">
        <f>8255</f>
        <v>8255</v>
      </c>
    </row>
    <row r="16" spans="3:5" x14ac:dyDescent="0.35">
      <c r="C16" t="s">
        <v>1</v>
      </c>
      <c r="D16" s="2">
        <f>D15-D6-D8*D7</f>
        <v>4234.24</v>
      </c>
    </row>
    <row r="17" spans="3:6" x14ac:dyDescent="0.35">
      <c r="C17" t="s">
        <v>6</v>
      </c>
      <c r="D17" s="2">
        <f>D10*D16*1</f>
        <v>127027.2</v>
      </c>
      <c r="E17" s="3">
        <f>D11*D16</f>
        <v>1524326.3999999999</v>
      </c>
    </row>
    <row r="18" spans="3:6" x14ac:dyDescent="0.35">
      <c r="C18" t="s">
        <v>12</v>
      </c>
      <c r="D18" s="4">
        <f>(D12+D13)/12</f>
        <v>5.9416666666666671E-3</v>
      </c>
    </row>
    <row r="19" spans="3:6" x14ac:dyDescent="0.35">
      <c r="C19" t="s">
        <v>14</v>
      </c>
      <c r="D19" s="2">
        <f>D16*((1+D18)^D11-1)/(D18*(1+D18)^D11)</f>
        <v>628173.29283456563</v>
      </c>
      <c r="E19" s="3"/>
    </row>
    <row r="21" spans="3:6" x14ac:dyDescent="0.35">
      <c r="C21" t="s">
        <v>16</v>
      </c>
      <c r="E21" s="3">
        <f>E17/D11</f>
        <v>4234.24</v>
      </c>
    </row>
    <row r="22" spans="3:6" x14ac:dyDescent="0.35">
      <c r="C22" t="s">
        <v>15</v>
      </c>
      <c r="D22" s="3">
        <f>D16/(1/D11+D18)</f>
        <v>485608.92003822868</v>
      </c>
      <c r="E22" s="3">
        <f>D19*D12/12+F22</f>
        <v>5477.3221283547264</v>
      </c>
      <c r="F22" s="3">
        <f>D19/D11</f>
        <v>1744.9258134293489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Magdalena Domaszczyńska</dc:creator>
  <cp:lastModifiedBy>Magdalena Domaszczyńska</cp:lastModifiedBy>
  <dcterms:created xsi:type="dcterms:W3CDTF">2015-06-05T18:19:34Z</dcterms:created>
  <dcterms:modified xsi:type="dcterms:W3CDTF">2026-01-31T20:55:18Z</dcterms:modified>
</cp:coreProperties>
</file>